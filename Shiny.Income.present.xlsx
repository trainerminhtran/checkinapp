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pp\checkinapp\"/>
    </mc:Choice>
  </mc:AlternateContent>
  <bookViews>
    <workbookView xWindow="-108" yWindow="-108" windowWidth="19416" windowHeight="11616" activeTab="2"/>
  </bookViews>
  <sheets>
    <sheet name="Plan" sheetId="1" r:id="rId1"/>
    <sheet name="Revenue" sheetId="2" r:id="rId2"/>
    <sheet name="Reference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C10" i="2"/>
  <c r="F9" i="2"/>
  <c r="E9" i="2"/>
  <c r="D9" i="2"/>
  <c r="G14" i="2"/>
  <c r="G9" i="2" s="1"/>
  <c r="O14" i="2"/>
  <c r="O9" i="2" s="1"/>
  <c r="N14" i="2"/>
  <c r="N9" i="2" s="1"/>
  <c r="M14" i="2"/>
  <c r="M9" i="2" s="1"/>
  <c r="L14" i="2"/>
  <c r="L9" i="2" s="1"/>
  <c r="K14" i="2"/>
  <c r="K9" i="2" s="1"/>
  <c r="J14" i="2"/>
  <c r="J9" i="2" s="1"/>
  <c r="I14" i="2"/>
  <c r="I9" i="2" s="1"/>
  <c r="H14" i="2"/>
  <c r="H9" i="2" s="1"/>
  <c r="O8" i="2"/>
  <c r="N8" i="2"/>
  <c r="M8" i="2"/>
  <c r="L8" i="2"/>
  <c r="K8" i="2"/>
  <c r="J8" i="2"/>
  <c r="I8" i="2"/>
  <c r="H8" i="2"/>
  <c r="M30" i="2"/>
  <c r="G8" i="2"/>
  <c r="F8" i="2"/>
  <c r="E8" i="2"/>
  <c r="D8" i="2"/>
  <c r="M31" i="2"/>
  <c r="L15" i="2"/>
  <c r="K15" i="2"/>
  <c r="J15" i="2"/>
  <c r="I15" i="2"/>
  <c r="H15" i="2"/>
  <c r="G15" i="2"/>
  <c r="M21" i="2"/>
</calcChain>
</file>

<file path=xl/sharedStrings.xml><?xml version="1.0" encoding="utf-8"?>
<sst xmlns="http://schemas.openxmlformats.org/spreadsheetml/2006/main" count="133" uniqueCount="99">
  <si>
    <t>Tạo ra sản phẩm hoàn chỉnh</t>
  </si>
  <si>
    <t>Cung cấp giải pháp cho 10 doanh nghiệp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</si>
  <si>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</si>
  <si>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</si>
  <si>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</si>
  <si>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</si>
  <si>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</si>
  <si>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</si>
  <si>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</si>
  <si>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</si>
  <si>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</si>
  <si>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</si>
  <si>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</si>
  <si>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</si>
  <si>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Định hình &amp; quyết định sản phẩm đầu tay</t>
  </si>
  <si>
    <t>Thiết kế giao diện</t>
  </si>
  <si>
    <t>Sản phẩm beta</t>
  </si>
  <si>
    <t>Sản phẩm release</t>
  </si>
  <si>
    <t>Liệt kê tính năng</t>
  </si>
  <si>
    <t>Thiết kế quy trình người dùng</t>
  </si>
  <si>
    <t>Lập trình tính năng</t>
  </si>
  <si>
    <t>Thực hiện test cho nhà Samsung</t>
  </si>
  <si>
    <t>Áp dụng cho 03 công ty khác</t>
  </si>
  <si>
    <t>Áp dụng cho 7 công ty khác</t>
  </si>
  <si>
    <t>Tối ưu hóa cơ sở hạ tầng</t>
  </si>
  <si>
    <t>Refactoring code toàn bộ hệ thống</t>
  </si>
  <si>
    <t>Fix lỗi logic</t>
  </si>
  <si>
    <t>Nâng cấp hệ thống</t>
  </si>
  <si>
    <t>Nghiên cứu tính năng mới</t>
  </si>
  <si>
    <t>Thu thập ý kiến người dùng</t>
  </si>
  <si>
    <t>Giải quyết ít nhất 02 nhu cầu quan trọng của người dùng</t>
  </si>
  <si>
    <t>Tìm kiếm ít nhấn 10 khách hàng tiềm năng và thu thập nhu cầu</t>
  </si>
  <si>
    <t>Định hình sản phẩm tiếp theo</t>
  </si>
  <si>
    <t>Review &amp; Plan</t>
  </si>
  <si>
    <t>Chi</t>
  </si>
  <si>
    <t>Tổng chi</t>
  </si>
  <si>
    <t>Tổng Thu</t>
  </si>
  <si>
    <t>Qty</t>
  </si>
  <si>
    <t>Amount</t>
  </si>
  <si>
    <t>Total</t>
  </si>
  <si>
    <t>Frequency</t>
  </si>
  <si>
    <t>Monthly</t>
  </si>
  <si>
    <t>Quarterly</t>
  </si>
  <si>
    <t>Yearly</t>
  </si>
  <si>
    <t>KH</t>
  </si>
  <si>
    <t>Samsung DA</t>
  </si>
  <si>
    <t>KH tiềm năng</t>
  </si>
  <si>
    <t>NK</t>
  </si>
  <si>
    <t>MM</t>
  </si>
  <si>
    <t>VHC</t>
  </si>
  <si>
    <t>Cao Phong</t>
  </si>
  <si>
    <t>IM</t>
  </si>
  <si>
    <t>AV</t>
  </si>
  <si>
    <t>Aqua</t>
  </si>
  <si>
    <t>Server 4gb</t>
  </si>
  <si>
    <t>Server 8gb</t>
  </si>
  <si>
    <t>Phí phát sinh</t>
  </si>
  <si>
    <t>Developer</t>
  </si>
  <si>
    <t>Samsung AV</t>
  </si>
  <si>
    <t>Định phí</t>
  </si>
  <si>
    <t>Biến phí</t>
  </si>
  <si>
    <t>Cá nhân</t>
  </si>
  <si>
    <t>Công ty</t>
  </si>
  <si>
    <t>VP</t>
  </si>
  <si>
    <t>Tiếp khách</t>
  </si>
  <si>
    <t>Thu nhập</t>
  </si>
  <si>
    <t>Doanh thu</t>
  </si>
  <si>
    <t>Điện nước</t>
  </si>
  <si>
    <t>- thuế</t>
  </si>
  <si>
    <t>- chi phí</t>
  </si>
  <si>
    <t>Internet</t>
  </si>
  <si>
    <t>= lợi nhuận</t>
  </si>
  <si>
    <t>=Lợi nhuận</t>
  </si>
  <si>
    <t>chia cho ban BT</t>
  </si>
  <si>
    <t>Quản lý</t>
  </si>
  <si>
    <t>BHXH</t>
  </si>
  <si>
    <t>BHYT</t>
  </si>
  <si>
    <t>Thuế</t>
  </si>
  <si>
    <t>Chốt mở công ty?</t>
  </si>
  <si>
    <t>Lương</t>
  </si>
  <si>
    <t>Nhờ công ty khác</t>
  </si>
  <si>
    <t>Kỹ Thuật</t>
  </si>
  <si>
    <t>Thời gian mỗi ngày cho dự án</t>
  </si>
  <si>
    <t>Ban Quản trị</t>
  </si>
  <si>
    <t>Định giá sản phẩm</t>
  </si>
  <si>
    <t>? Meeting frequence</t>
  </si>
  <si>
    <t>CO-FOUNDER</t>
  </si>
  <si>
    <t>BQT (3 người)</t>
  </si>
  <si>
    <t>CEO</t>
  </si>
  <si>
    <t>Sale</t>
  </si>
  <si>
    <t>Hành chính</t>
  </si>
  <si>
    <t>Thiết kế</t>
  </si>
  <si>
    <t xml:space="preserve">Huy </t>
  </si>
  <si>
    <t>Minh</t>
  </si>
  <si>
    <t>Anh Thien</t>
  </si>
  <si>
    <t>20tr</t>
  </si>
  <si>
    <t>10tr + ..</t>
  </si>
  <si>
    <t>20tr.</t>
  </si>
  <si>
    <t>Thời gian mỗi ngày cho dự án?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</si>
</sst>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_(* #,##0_);_(* \(#,##0\);_(* &quot;-&quot;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D66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3" borderId="5" xfId="0" applyFill="1" applyBorder="1"/>
    <xf numFmtId="0" fontId="0" fillId="4" borderId="8" xfId="0" applyFill="1" applyBorder="1"/>
    <xf numFmtId="0" fontId="0" fillId="4" borderId="0" xfId="0" applyFill="1" applyBorder="1"/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/>
    <xf numFmtId="0" fontId="0" fillId="0" borderId="10" xfId="0" applyBorder="1"/>
    <xf numFmtId="0" fontId="0" fillId="0" borderId="11" xfId="0" applyBorder="1"/>
    <xf numFmtId="0" fontId="0" fillId="5" borderId="11" xfId="0" applyFill="1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6" borderId="11" xfId="0" applyFill="1" applyBorder="1"/>
    <xf numFmtId="0" fontId="0" fillId="6" borderId="0" xfId="0" applyFill="1" applyBorder="1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horizontal="left" indent="2"/>
    </xf>
    <xf numFmtId="0" fontId="4" fillId="0" borderId="4" xfId="0" applyFont="1" applyBorder="1" applyAlignment="1">
      <alignment horizontal="left" indent="2"/>
    </xf>
    <xf numFmtId="0" fontId="3" fillId="0" borderId="2" xfId="0" applyFont="1" applyBorder="1" applyAlignment="1">
      <alignment horizontal="left"/>
    </xf>
    <xf numFmtId="0" fontId="0" fillId="5" borderId="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2" xfId="0" applyFill="1" applyBorder="1"/>
    <xf numFmtId="164" fontId="0" fillId="0" borderId="0" xfId="0" applyNumberFormat="1"/>
    <xf numFmtId="9" fontId="0" fillId="0" borderId="0" xfId="3" applyFont="1"/>
    <xf numFmtId="165" fontId="0" fillId="0" borderId="0" xfId="1" applyNumberFormat="1" applyFont="1"/>
    <xf numFmtId="0" fontId="1" fillId="0" borderId="0" xfId="0" applyFon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5" fontId="0" fillId="0" borderId="0" xfId="2" applyNumberFormat="1" applyFont="1"/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0" fillId="0" borderId="0" xfId="0" quotePrefix="1" applyAlignment="1">
      <alignment horizontal="left" indent="2"/>
    </xf>
    <xf numFmtId="0" fontId="0" fillId="0" borderId="0" xfId="0" quotePrefix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D6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N26"/>
  <sheetViews>
    <sheetView showGridLines="0" zoomScale="70" zoomScaleNormal="70" workbookViewId="0">
      <selection activeCell="F14" sqref="F14"/>
    </sheetView>
  </sheetViews>
  <sheetFormatPr defaultRowHeight="14.4" x14ac:dyDescent="0.3"/>
  <cols>
    <col min="2" max="2" width="65.33203125" customWidth="1"/>
    <col min="3" max="14" width="6.88671875" customWidth="1"/>
  </cols>
  <sheetData>
    <row r="6" spans="2:14" ht="30" customHeight="1" x14ac:dyDescent="0.3">
      <c r="C6" s="46" t="s">
        <v>0</v>
      </c>
      <c r="D6" s="47"/>
      <c r="E6" s="47"/>
      <c r="F6" s="47"/>
      <c r="G6" s="48" t="s">
        <v>1</v>
      </c>
      <c r="H6" s="49"/>
      <c r="I6" s="49"/>
      <c r="J6" s="49"/>
      <c r="K6" s="46" t="s">
        <v>33</v>
      </c>
      <c r="L6" s="47"/>
      <c r="M6" s="47"/>
      <c r="N6" s="50"/>
    </row>
    <row r="7" spans="2:14" x14ac:dyDescent="0.3"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9" t="s">
        <v>12</v>
      </c>
      <c r="N7" s="10" t="s">
        <v>13</v>
      </c>
    </row>
    <row r="8" spans="2:14" ht="17.399999999999999" x14ac:dyDescent="0.35">
      <c r="B8" s="25" t="s">
        <v>14</v>
      </c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spans="2:14" ht="17.399999999999999" x14ac:dyDescent="0.35">
      <c r="B9" s="26" t="s">
        <v>16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spans="2:14" ht="17.399999999999999" x14ac:dyDescent="0.35">
      <c r="B10" s="27" t="s">
        <v>18</v>
      </c>
      <c r="C10" s="12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 ht="17.399999999999999" x14ac:dyDescent="0.35">
      <c r="B11" s="27" t="s">
        <v>19</v>
      </c>
      <c r="C11" s="12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 ht="17.399999999999999" x14ac:dyDescent="0.35">
      <c r="B12" s="27" t="s">
        <v>15</v>
      </c>
      <c r="C12" s="12"/>
      <c r="D12" s="13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 ht="17.399999999999999" x14ac:dyDescent="0.35">
      <c r="B13" s="27" t="s">
        <v>20</v>
      </c>
      <c r="C13" s="12"/>
      <c r="D13" s="13"/>
      <c r="E13" s="13"/>
      <c r="F13" s="5"/>
      <c r="G13" s="5"/>
      <c r="H13" s="5"/>
      <c r="I13" s="5"/>
      <c r="J13" s="5"/>
      <c r="K13" s="5"/>
      <c r="L13" s="5"/>
      <c r="M13" s="5"/>
      <c r="N13" s="6"/>
    </row>
    <row r="14" spans="2:14" ht="17.399999999999999" x14ac:dyDescent="0.35">
      <c r="B14" s="27" t="s">
        <v>21</v>
      </c>
      <c r="C14" s="4"/>
      <c r="D14" s="5"/>
      <c r="E14" s="5"/>
      <c r="F14" s="14">
        <v>1</v>
      </c>
      <c r="G14" s="15"/>
      <c r="H14" s="15"/>
      <c r="I14" s="15"/>
      <c r="J14" s="15"/>
      <c r="K14" s="5"/>
      <c r="L14" s="5"/>
      <c r="M14" s="5"/>
      <c r="N14" s="6"/>
    </row>
    <row r="15" spans="2:14" ht="17.399999999999999" x14ac:dyDescent="0.35">
      <c r="B15" s="28" t="s">
        <v>22</v>
      </c>
      <c r="C15" s="17"/>
      <c r="D15" s="18"/>
      <c r="E15" s="21"/>
      <c r="F15" s="21"/>
      <c r="G15" s="22">
        <v>3</v>
      </c>
      <c r="H15" s="21"/>
      <c r="I15" s="21"/>
      <c r="J15" s="21"/>
      <c r="K15" s="18"/>
      <c r="L15" s="18"/>
      <c r="M15" s="18"/>
      <c r="N15" s="20"/>
    </row>
    <row r="16" spans="2:14" ht="17.399999999999999" x14ac:dyDescent="0.35">
      <c r="B16" s="26" t="s">
        <v>17</v>
      </c>
      <c r="C16" s="4"/>
      <c r="D16" s="5"/>
      <c r="E16" s="15"/>
      <c r="F16" s="15"/>
      <c r="G16" s="15"/>
      <c r="H16" s="15"/>
      <c r="I16" s="15"/>
      <c r="J16" s="15"/>
      <c r="K16" s="5"/>
      <c r="L16" s="5"/>
      <c r="M16" s="5"/>
      <c r="N16" s="6"/>
    </row>
    <row r="17" spans="2:14" ht="17.399999999999999" x14ac:dyDescent="0.35">
      <c r="B17" s="28" t="s">
        <v>23</v>
      </c>
      <c r="C17" s="4"/>
      <c r="D17" s="5"/>
      <c r="E17" s="15"/>
      <c r="F17" s="15"/>
      <c r="G17" s="15"/>
      <c r="H17" s="14">
        <v>2</v>
      </c>
      <c r="I17" s="14">
        <v>2</v>
      </c>
      <c r="J17" s="14">
        <v>2</v>
      </c>
      <c r="K17" s="5"/>
      <c r="L17" s="5"/>
      <c r="M17" s="5"/>
      <c r="N17" s="6"/>
    </row>
    <row r="18" spans="2:14" ht="17.399999999999999" x14ac:dyDescent="0.35">
      <c r="B18" s="29" t="s">
        <v>24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7.399999999999999" x14ac:dyDescent="0.35">
      <c r="B19" s="27" t="s">
        <v>25</v>
      </c>
      <c r="C19" s="4"/>
      <c r="D19" s="5"/>
      <c r="E19" s="5"/>
      <c r="F19" s="5"/>
      <c r="G19" s="5"/>
      <c r="H19" s="24"/>
      <c r="I19" s="24"/>
      <c r="J19" s="24"/>
      <c r="K19" s="5"/>
      <c r="L19" s="5"/>
      <c r="M19" s="5"/>
      <c r="N19" s="6"/>
    </row>
    <row r="20" spans="2:14" ht="17.399999999999999" x14ac:dyDescent="0.35">
      <c r="B20" s="28" t="s">
        <v>26</v>
      </c>
      <c r="C20" s="17"/>
      <c r="D20" s="18"/>
      <c r="E20" s="18"/>
      <c r="F20" s="23"/>
      <c r="G20" s="23"/>
      <c r="H20" s="18"/>
      <c r="I20" s="18"/>
      <c r="J20" s="18"/>
      <c r="K20" s="18"/>
      <c r="L20" s="18"/>
      <c r="M20" s="18"/>
      <c r="N20" s="20"/>
    </row>
    <row r="21" spans="2:14" ht="17.399999999999999" x14ac:dyDescent="0.35">
      <c r="B21" s="29" t="s">
        <v>27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2:14" ht="17.399999999999999" x14ac:dyDescent="0.35">
      <c r="B22" s="27" t="s">
        <v>29</v>
      </c>
      <c r="C22" s="4"/>
      <c r="D22" s="5"/>
      <c r="E22" s="5"/>
      <c r="F22" s="5"/>
      <c r="G22" s="5"/>
      <c r="H22" s="16"/>
      <c r="I22" s="16"/>
      <c r="J22" s="16"/>
      <c r="K22" s="5"/>
      <c r="L22" s="5"/>
      <c r="M22" s="5"/>
      <c r="N22" s="6"/>
    </row>
    <row r="23" spans="2:14" ht="17.399999999999999" x14ac:dyDescent="0.35">
      <c r="B23" s="28" t="s">
        <v>30</v>
      </c>
      <c r="C23" s="17"/>
      <c r="D23" s="18"/>
      <c r="E23" s="18"/>
      <c r="F23" s="18"/>
      <c r="G23" s="18"/>
      <c r="H23" s="18"/>
      <c r="I23" s="19"/>
      <c r="J23" s="19"/>
      <c r="K23" s="18"/>
      <c r="L23" s="18"/>
      <c r="M23" s="18"/>
      <c r="N23" s="20"/>
    </row>
    <row r="24" spans="2:14" ht="17.399999999999999" x14ac:dyDescent="0.35">
      <c r="B24" s="29" t="s">
        <v>28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</row>
    <row r="25" spans="2:14" ht="17.399999999999999" x14ac:dyDescent="0.35">
      <c r="B25" s="27" t="s">
        <v>31</v>
      </c>
      <c r="C25" s="4"/>
      <c r="D25" s="5"/>
      <c r="E25" s="5"/>
      <c r="F25" s="5"/>
      <c r="G25" s="5"/>
      <c r="H25" s="5"/>
      <c r="I25" s="5"/>
      <c r="J25" s="5"/>
      <c r="K25" s="30">
        <v>3</v>
      </c>
      <c r="L25" s="30">
        <v>3</v>
      </c>
      <c r="M25" s="30">
        <v>3</v>
      </c>
      <c r="N25" s="31">
        <v>1</v>
      </c>
    </row>
    <row r="26" spans="2:14" ht="17.399999999999999" x14ac:dyDescent="0.35">
      <c r="B26" s="28" t="s">
        <v>32</v>
      </c>
      <c r="C26" s="17"/>
      <c r="D26" s="18"/>
      <c r="E26" s="18"/>
      <c r="F26" s="18"/>
      <c r="G26" s="18"/>
      <c r="H26" s="18"/>
      <c r="I26" s="18"/>
      <c r="J26" s="18"/>
      <c r="K26" s="18"/>
      <c r="L26" s="19"/>
      <c r="M26" s="19"/>
      <c r="N26" s="32"/>
    </row>
  </sheetData>
  <mergeCells count="3">
    <mergeCell ref="C6:F6"/>
    <mergeCell ref="G6:J6"/>
    <mergeCell ref="K6:N6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O31"/>
  <sheetViews>
    <sheetView showGridLines="0" workbookViewId="0">
      <selection activeCell="A16" sqref="A16:B16"/>
    </sheetView>
  </sheetViews>
  <sheetFormatPr defaultRowHeight="14.4" x14ac:dyDescent="0.3"/>
  <cols>
    <col min="3" max="3" width="10.88671875" bestFit="1" customWidth="1"/>
    <col min="4" max="5" width="11.5546875" bestFit="1" customWidth="1"/>
    <col min="6" max="6" width="13.6640625" bestFit="1" customWidth="1"/>
    <col min="7" max="7" width="12.5546875" bestFit="1" customWidth="1"/>
    <col min="8" max="15" width="13.6640625" bestFit="1" customWidth="1"/>
  </cols>
  <sheetData>
    <row r="6" spans="3:15" x14ac:dyDescent="0.3">
      <c r="D6" s="41" t="s">
        <v>2</v>
      </c>
      <c r="E6" s="42" t="s">
        <v>3</v>
      </c>
      <c r="F6" s="42" t="s">
        <v>4</v>
      </c>
      <c r="G6" s="42" t="s">
        <v>5</v>
      </c>
      <c r="H6" s="42" t="s">
        <v>6</v>
      </c>
      <c r="I6" s="42" t="s">
        <v>7</v>
      </c>
      <c r="J6" s="42" t="s">
        <v>8</v>
      </c>
      <c r="K6" s="42" t="s">
        <v>9</v>
      </c>
      <c r="L6" s="42" t="s">
        <v>10</v>
      </c>
      <c r="M6" s="42" t="s">
        <v>11</v>
      </c>
      <c r="N6" s="43" t="s">
        <v>12</v>
      </c>
      <c r="O6" s="44" t="s">
        <v>13</v>
      </c>
    </row>
    <row r="7" spans="3:15" x14ac:dyDescent="0.3">
      <c r="C7" s="36" t="s">
        <v>35</v>
      </c>
    </row>
    <row r="8" spans="3:15" x14ac:dyDescent="0.3">
      <c r="C8" t="s">
        <v>45</v>
      </c>
      <c r="D8" s="37">
        <f>-$F$21</f>
        <v>-600000</v>
      </c>
      <c r="E8" s="37">
        <f t="shared" ref="E8:G8" si="0">-$F$21</f>
        <v>-600000</v>
      </c>
      <c r="F8" s="37">
        <f t="shared" si="0"/>
        <v>-600000</v>
      </c>
      <c r="G8" s="37">
        <f t="shared" si="0"/>
        <v>-600000</v>
      </c>
      <c r="H8" s="37">
        <f>-$F$22</f>
        <v>-1080000</v>
      </c>
      <c r="I8" s="37">
        <f t="shared" ref="I8:O8" si="1">-$F$22</f>
        <v>-1080000</v>
      </c>
      <c r="J8" s="37">
        <f t="shared" si="1"/>
        <v>-1080000</v>
      </c>
      <c r="K8" s="37">
        <f t="shared" si="1"/>
        <v>-1080000</v>
      </c>
      <c r="L8" s="37">
        <f t="shared" si="1"/>
        <v>-1080000</v>
      </c>
      <c r="M8" s="37">
        <f t="shared" si="1"/>
        <v>-1080000</v>
      </c>
      <c r="N8" s="37">
        <f t="shared" si="1"/>
        <v>-1080000</v>
      </c>
      <c r="O8" s="37">
        <f t="shared" si="1"/>
        <v>-1080000</v>
      </c>
    </row>
    <row r="9" spans="3:15" x14ac:dyDescent="0.3">
      <c r="C9" t="s">
        <v>56</v>
      </c>
      <c r="D9" s="39">
        <f>-D14*$F$23</f>
        <v>0</v>
      </c>
      <c r="E9" s="39">
        <f t="shared" ref="E9:O9" si="2">-E14*$F$23</f>
        <v>0</v>
      </c>
      <c r="F9" s="39">
        <f t="shared" si="2"/>
        <v>0</v>
      </c>
      <c r="G9" s="39">
        <f t="shared" si="2"/>
        <v>-2360000</v>
      </c>
      <c r="H9" s="39">
        <f t="shared" si="2"/>
        <v>-2960000</v>
      </c>
      <c r="I9" s="39">
        <f t="shared" si="2"/>
        <v>-2960000</v>
      </c>
      <c r="J9" s="39">
        <f t="shared" si="2"/>
        <v>-2960000</v>
      </c>
      <c r="K9" s="39">
        <f t="shared" si="2"/>
        <v>-3160000</v>
      </c>
      <c r="L9" s="39">
        <f t="shared" si="2"/>
        <v>-3160000</v>
      </c>
      <c r="M9" s="39">
        <f t="shared" si="2"/>
        <v>-4400000</v>
      </c>
      <c r="N9" s="39">
        <f t="shared" si="2"/>
        <v>-4400000</v>
      </c>
      <c r="O9" s="39">
        <f t="shared" si="2"/>
        <v>-4400000</v>
      </c>
    </row>
    <row r="10" spans="3:15" x14ac:dyDescent="0.3">
      <c r="C10" t="str">
        <f>C24</f>
        <v>Developer</v>
      </c>
      <c r="D10" s="37">
        <f>-$F$24</f>
        <v>-30000000</v>
      </c>
      <c r="E10" s="37"/>
      <c r="F10" s="37"/>
    </row>
    <row r="14" spans="3:15" x14ac:dyDescent="0.3">
      <c r="C14" s="36" t="s">
        <v>36</v>
      </c>
      <c r="D14" s="36"/>
      <c r="E14" s="36"/>
      <c r="F14" s="36"/>
      <c r="G14" s="38">
        <f>SUM(G15:G17)</f>
        <v>5900000</v>
      </c>
      <c r="H14" s="38">
        <f t="shared" ref="H14:O14" si="3">SUM(H15:H17)</f>
        <v>7400000</v>
      </c>
      <c r="I14" s="38">
        <f t="shared" si="3"/>
        <v>7400000</v>
      </c>
      <c r="J14" s="38">
        <f t="shared" si="3"/>
        <v>7400000</v>
      </c>
      <c r="K14" s="38">
        <f t="shared" si="3"/>
        <v>7900000</v>
      </c>
      <c r="L14" s="38">
        <f t="shared" si="3"/>
        <v>7900000</v>
      </c>
      <c r="M14" s="38">
        <f t="shared" si="3"/>
        <v>11000000</v>
      </c>
      <c r="N14" s="38">
        <f t="shared" si="3"/>
        <v>11000000</v>
      </c>
      <c r="O14" s="38">
        <f t="shared" si="3"/>
        <v>11000000</v>
      </c>
    </row>
    <row r="15" spans="3:15" x14ac:dyDescent="0.3">
      <c r="C15" t="s">
        <v>45</v>
      </c>
      <c r="G15" s="35">
        <f t="shared" ref="G15:O15" si="4">$M$21</f>
        <v>5900000</v>
      </c>
      <c r="H15" s="35">
        <f t="shared" si="4"/>
        <v>5900000</v>
      </c>
      <c r="I15" s="35">
        <f t="shared" si="4"/>
        <v>5900000</v>
      </c>
      <c r="J15" s="35">
        <f t="shared" si="4"/>
        <v>5900000</v>
      </c>
      <c r="K15" s="35">
        <f t="shared" si="4"/>
        <v>5900000</v>
      </c>
      <c r="L15" s="35">
        <f t="shared" si="4"/>
        <v>5900000</v>
      </c>
      <c r="M15" s="35">
        <v>9000000</v>
      </c>
      <c r="N15" s="35">
        <v>9000000</v>
      </c>
      <c r="O15" s="35">
        <v>9000000</v>
      </c>
    </row>
    <row r="16" spans="3:15" x14ac:dyDescent="0.3">
      <c r="C16" t="s">
        <v>53</v>
      </c>
      <c r="H16" s="40">
        <v>1500000</v>
      </c>
      <c r="I16" s="40">
        <v>1500000</v>
      </c>
      <c r="J16" s="40">
        <v>1500000</v>
      </c>
      <c r="K16" s="40">
        <v>2000000</v>
      </c>
      <c r="L16" s="40">
        <v>2000000</v>
      </c>
      <c r="M16" s="40">
        <v>2000000</v>
      </c>
      <c r="N16" s="40">
        <v>2000000</v>
      </c>
      <c r="O16" s="40">
        <v>2000000</v>
      </c>
    </row>
    <row r="17" spans="3:15" x14ac:dyDescent="0.3">
      <c r="C17" t="s">
        <v>58</v>
      </c>
      <c r="G17" s="33"/>
      <c r="H17" s="33"/>
      <c r="I17" s="33"/>
      <c r="J17" s="33"/>
      <c r="K17" s="33"/>
      <c r="L17" s="33"/>
      <c r="M17" s="33"/>
      <c r="N17" s="33"/>
      <c r="O17" s="33"/>
    </row>
    <row r="20" spans="3:15" x14ac:dyDescent="0.3">
      <c r="C20" s="36" t="s">
        <v>34</v>
      </c>
      <c r="D20" s="36" t="s">
        <v>40</v>
      </c>
      <c r="E20" s="45" t="s">
        <v>37</v>
      </c>
      <c r="F20" s="45" t="s">
        <v>38</v>
      </c>
      <c r="I20" s="36" t="s">
        <v>44</v>
      </c>
      <c r="J20" s="36" t="s">
        <v>40</v>
      </c>
      <c r="K20" s="45" t="s">
        <v>37</v>
      </c>
      <c r="L20" s="45" t="s">
        <v>38</v>
      </c>
      <c r="M20" s="45" t="s">
        <v>39</v>
      </c>
    </row>
    <row r="21" spans="3:15" x14ac:dyDescent="0.3">
      <c r="C21" t="s">
        <v>54</v>
      </c>
      <c r="D21" t="s">
        <v>41</v>
      </c>
      <c r="E21">
        <v>1</v>
      </c>
      <c r="F21" s="35">
        <v>600000</v>
      </c>
      <c r="I21" t="s">
        <v>45</v>
      </c>
      <c r="J21" t="s">
        <v>41</v>
      </c>
      <c r="K21">
        <v>1</v>
      </c>
      <c r="L21" s="33">
        <v>5900000</v>
      </c>
      <c r="M21" s="33">
        <f>PRODUCT(K21:L21)</f>
        <v>5900000</v>
      </c>
    </row>
    <row r="22" spans="3:15" x14ac:dyDescent="0.3">
      <c r="C22" t="s">
        <v>55</v>
      </c>
      <c r="D22" t="s">
        <v>41</v>
      </c>
      <c r="E22">
        <v>1</v>
      </c>
      <c r="F22" s="35">
        <v>1080000</v>
      </c>
    </row>
    <row r="23" spans="3:15" x14ac:dyDescent="0.3">
      <c r="C23" t="s">
        <v>56</v>
      </c>
      <c r="D23" t="s">
        <v>41</v>
      </c>
      <c r="E23">
        <v>1</v>
      </c>
      <c r="F23" s="34">
        <v>0.4</v>
      </c>
    </row>
    <row r="24" spans="3:15" x14ac:dyDescent="0.3">
      <c r="C24" t="s">
        <v>57</v>
      </c>
      <c r="D24" t="s">
        <v>41</v>
      </c>
      <c r="E24">
        <v>1</v>
      </c>
      <c r="F24" s="35">
        <v>30000000</v>
      </c>
      <c r="I24" s="36" t="s">
        <v>46</v>
      </c>
      <c r="J24" s="36" t="s">
        <v>40</v>
      </c>
      <c r="K24" s="36" t="s">
        <v>37</v>
      </c>
      <c r="L24" s="36" t="s">
        <v>38</v>
      </c>
      <c r="M24" s="36" t="s">
        <v>39</v>
      </c>
    </row>
    <row r="25" spans="3:15" x14ac:dyDescent="0.3">
      <c r="I25" t="s">
        <v>47</v>
      </c>
      <c r="L25" s="33"/>
      <c r="M25" s="33"/>
    </row>
    <row r="26" spans="3:15" x14ac:dyDescent="0.3">
      <c r="I26" t="s">
        <v>48</v>
      </c>
      <c r="L26" s="33"/>
      <c r="M26" s="33"/>
    </row>
    <row r="27" spans="3:15" x14ac:dyDescent="0.3">
      <c r="I27" t="s">
        <v>49</v>
      </c>
      <c r="L27" s="33"/>
      <c r="M27" s="33"/>
    </row>
    <row r="28" spans="3:15" x14ac:dyDescent="0.3">
      <c r="I28" t="s">
        <v>50</v>
      </c>
      <c r="L28" s="33"/>
      <c r="M28" s="33"/>
    </row>
    <row r="29" spans="3:15" x14ac:dyDescent="0.3">
      <c r="I29" t="s">
        <v>51</v>
      </c>
      <c r="L29" s="33"/>
      <c r="M29" s="33"/>
    </row>
    <row r="30" spans="3:15" x14ac:dyDescent="0.3">
      <c r="I30" t="s">
        <v>52</v>
      </c>
      <c r="J30" t="s">
        <v>41</v>
      </c>
      <c r="K30">
        <v>1</v>
      </c>
      <c r="L30" s="33">
        <v>2300000</v>
      </c>
      <c r="M30" s="33">
        <f>PRODUCT(K30:L30)</f>
        <v>2300000</v>
      </c>
    </row>
    <row r="31" spans="3:15" x14ac:dyDescent="0.3">
      <c r="I31" t="s">
        <v>53</v>
      </c>
      <c r="J31" t="s">
        <v>41</v>
      </c>
      <c r="K31">
        <v>1</v>
      </c>
      <c r="L31" s="33">
        <v>1000000</v>
      </c>
      <c r="M31" s="33">
        <f>PRODUCT(K31:L31)</f>
        <v>1000000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32"/>
  <sheetViews>
    <sheetView tabSelected="1" workbookViewId="0">
      <selection activeCell="B13" sqref="B13:L35"/>
    </sheetView>
  </sheetViews>
  <sheetFormatPr defaultRowHeight="14.4" x14ac:dyDescent="0.3"/>
  <sheetData>
    <row r="5" spans="2:10" x14ac:dyDescent="0.3">
      <c r="B5" t="s">
        <v>40</v>
      </c>
    </row>
    <row r="6" spans="2:10" x14ac:dyDescent="0.3">
      <c r="B6" t="s">
        <v>41</v>
      </c>
    </row>
    <row r="7" spans="2:10" x14ac:dyDescent="0.3">
      <c r="B7" t="s">
        <v>42</v>
      </c>
    </row>
    <row r="8" spans="2:10" x14ac:dyDescent="0.3">
      <c r="B8" t="s">
        <v>43</v>
      </c>
    </row>
    <row r="14" spans="2:10" x14ac:dyDescent="0.3">
      <c r="C14" s="36" t="s">
        <v>59</v>
      </c>
      <c r="D14" s="36"/>
      <c r="E14" s="36" t="s">
        <v>60</v>
      </c>
      <c r="F14" s="36"/>
      <c r="G14" s="36"/>
      <c r="H14" s="36" t="s">
        <v>61</v>
      </c>
      <c r="I14" s="36"/>
      <c r="J14" s="36" t="s">
        <v>62</v>
      </c>
    </row>
    <row r="15" spans="2:10" x14ac:dyDescent="0.3">
      <c r="C15" s="36" t="s">
        <v>63</v>
      </c>
      <c r="E15" t="s">
        <v>64</v>
      </c>
      <c r="H15" t="s">
        <v>65</v>
      </c>
      <c r="J15" t="s">
        <v>66</v>
      </c>
    </row>
    <row r="16" spans="2:10" x14ac:dyDescent="0.3">
      <c r="C16" t="s">
        <v>67</v>
      </c>
      <c r="H16" s="51" t="s">
        <v>68</v>
      </c>
      <c r="J16" s="51" t="s">
        <v>69</v>
      </c>
    </row>
    <row r="17" spans="3:11" x14ac:dyDescent="0.3">
      <c r="C17" t="s">
        <v>70</v>
      </c>
      <c r="H17" s="52" t="s">
        <v>71</v>
      </c>
      <c r="J17" s="52" t="s">
        <v>72</v>
      </c>
      <c r="K17" t="s">
        <v>73</v>
      </c>
    </row>
    <row r="18" spans="3:11" x14ac:dyDescent="0.3">
      <c r="C18" s="36" t="s">
        <v>74</v>
      </c>
      <c r="H18" s="51" t="s">
        <v>69</v>
      </c>
      <c r="J18" s="51" t="s">
        <v>68</v>
      </c>
    </row>
    <row r="19" spans="3:11" x14ac:dyDescent="0.3">
      <c r="C19" t="s">
        <v>75</v>
      </c>
    </row>
    <row r="20" spans="3:11" x14ac:dyDescent="0.3">
      <c r="C20" t="s">
        <v>76</v>
      </c>
    </row>
    <row r="21" spans="3:11" x14ac:dyDescent="0.3">
      <c r="C21" s="36" t="s">
        <v>77</v>
      </c>
    </row>
    <row r="22" spans="3:11" x14ac:dyDescent="0.3">
      <c r="H22" s="36" t="s">
        <v>78</v>
      </c>
      <c r="I22" s="36"/>
      <c r="J22" s="36"/>
    </row>
    <row r="23" spans="3:11" x14ac:dyDescent="0.3">
      <c r="C23" s="36" t="s">
        <v>79</v>
      </c>
      <c r="H23" t="s">
        <v>80</v>
      </c>
    </row>
    <row r="24" spans="3:11" x14ac:dyDescent="0.3">
      <c r="C24" t="s">
        <v>81</v>
      </c>
      <c r="H24" t="s">
        <v>82</v>
      </c>
    </row>
    <row r="25" spans="3:11" x14ac:dyDescent="0.3">
      <c r="C25" t="s">
        <v>83</v>
      </c>
      <c r="H25" t="s">
        <v>84</v>
      </c>
    </row>
    <row r="26" spans="3:11" x14ac:dyDescent="0.3">
      <c r="H26" t="s">
        <v>85</v>
      </c>
    </row>
    <row r="27" spans="3:11" x14ac:dyDescent="0.3">
      <c r="D27" s="36" t="s">
        <v>86</v>
      </c>
    </row>
    <row r="28" spans="3:11" x14ac:dyDescent="0.3">
      <c r="D28" t="s">
        <v>87</v>
      </c>
    </row>
    <row r="29" spans="3:11" x14ac:dyDescent="0.3">
      <c r="D29" t="s">
        <v>88</v>
      </c>
    </row>
    <row r="30" spans="3:11" x14ac:dyDescent="0.3">
      <c r="C30" t="s">
        <v>81</v>
      </c>
      <c r="D30" t="s">
        <v>89</v>
      </c>
      <c r="E30" t="s">
        <v>90</v>
      </c>
      <c r="F30" t="s">
        <v>91</v>
      </c>
    </row>
    <row r="31" spans="3:11" x14ac:dyDescent="0.3">
      <c r="C31" t="s">
        <v>92</v>
      </c>
      <c r="D31" t="s">
        <v>93</v>
      </c>
      <c r="F31" t="s">
        <v>94</v>
      </c>
    </row>
    <row r="32" spans="3:11" x14ac:dyDescent="0.3">
      <c r="C32" t="s">
        <v>95</v>
      </c>
      <c r="D32" t="s">
        <v>96</v>
      </c>
      <c r="F32" t="s">
        <v>97</v>
      </c>
      <c r="H32" s="3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Revenue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Training Team</dc:creator>
  <cp:lastModifiedBy>ThienIT</cp:lastModifiedBy>
  <dcterms:created xsi:type="dcterms:W3CDTF">2021-04-02T01:59:58Z</dcterms:created>
  <dcterms:modified xsi:type="dcterms:W3CDTF">2021-04-07T13:56:10Z</dcterms:modified>
</cp:coreProperties>
</file>